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my details\"/>
    </mc:Choice>
  </mc:AlternateContent>
  <bookViews>
    <workbookView xWindow="0" yWindow="0" windowWidth="15285" windowHeight="4035" activeTab="1"/>
  </bookViews>
  <sheets>
    <sheet name="Main Data" sheetId="1" r:id="rId1"/>
    <sheet name="Homework" sheetId="2" r:id="rId2"/>
    <sheet name="Analyse" sheetId="4" r:id="rId3"/>
  </sheets>
  <definedNames>
    <definedName name="_xlnm._FilterDatabase" localSheetId="0" hidden="1">'Main Data'!$A$1:$AF$12</definedName>
  </definedNames>
  <calcPr calcId="152511"/>
  <pivotCaches>
    <pivotCache cacheId="13" r:id="rId4"/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  <c r="L8" i="2"/>
  <c r="L9" i="2"/>
  <c r="L10" i="2"/>
  <c r="L11" i="2"/>
  <c r="L12" i="2"/>
  <c r="L13" i="2"/>
  <c r="L14" i="2"/>
  <c r="L15" i="2"/>
  <c r="L16" i="2"/>
  <c r="L6" i="2"/>
  <c r="K7" i="2"/>
  <c r="K8" i="2"/>
  <c r="K9" i="2"/>
  <c r="K10" i="2"/>
  <c r="K11" i="2"/>
  <c r="K12" i="2"/>
  <c r="K13" i="2"/>
  <c r="K14" i="2"/>
  <c r="K15" i="2"/>
  <c r="K16" i="2"/>
  <c r="K6" i="2"/>
  <c r="J7" i="2"/>
  <c r="J8" i="2"/>
  <c r="J9" i="2"/>
  <c r="J10" i="2"/>
  <c r="J11" i="2"/>
  <c r="J12" i="2"/>
  <c r="J13" i="2"/>
  <c r="J14" i="2"/>
  <c r="J15" i="2"/>
  <c r="J16" i="2"/>
  <c r="J6" i="2"/>
  <c r="D4" i="2"/>
  <c r="D5" i="2"/>
  <c r="D6" i="2"/>
  <c r="D7" i="2"/>
  <c r="D8" i="2"/>
  <c r="D9" i="2"/>
  <c r="D10" i="2"/>
  <c r="D11" i="2"/>
  <c r="D12" i="2"/>
  <c r="D13" i="2"/>
  <c r="D3" i="2"/>
  <c r="C13" i="2"/>
  <c r="C3" i="2"/>
  <c r="C4" i="2"/>
  <c r="C5" i="2"/>
  <c r="C6" i="2"/>
  <c r="C7" i="2"/>
  <c r="C8" i="2"/>
  <c r="C9" i="2"/>
  <c r="C10" i="2"/>
  <c r="C11" i="2"/>
  <c r="C12" i="2"/>
  <c r="B3" i="2"/>
  <c r="B4" i="2"/>
  <c r="B5" i="2"/>
  <c r="B6" i="2"/>
  <c r="B7" i="2"/>
  <c r="B8" i="2"/>
  <c r="B9" i="2"/>
  <c r="B10" i="2"/>
  <c r="B11" i="2"/>
  <c r="B12" i="2"/>
  <c r="B13" i="2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<sst xmlns="http://schemas.openxmlformats.org/spreadsheetml/2006/main" count="266" uniqueCount="194">
  <si>
    <t>Row</t>
  </si>
  <si>
    <t>Order Date</t>
  </si>
  <si>
    <t>Order ID</t>
  </si>
  <si>
    <t>Customer Name</t>
  </si>
  <si>
    <t>Email</t>
  </si>
  <si>
    <t>Gender</t>
  </si>
  <si>
    <t>Age</t>
  </si>
  <si>
    <t>City</t>
  </si>
  <si>
    <t>State</t>
  </si>
  <si>
    <t>Zone</t>
  </si>
  <si>
    <t>Segment</t>
  </si>
  <si>
    <t>Product Name</t>
  </si>
  <si>
    <t>Category</t>
  </si>
  <si>
    <t>SKU</t>
  </si>
  <si>
    <t>Unit Price</t>
  </si>
  <si>
    <t>Qty</t>
  </si>
  <si>
    <t>Gross Sales</t>
  </si>
  <si>
    <t>Discount %</t>
  </si>
  <si>
    <t>Promo Code</t>
  </si>
  <si>
    <t>Net Revenue</t>
  </si>
  <si>
    <t>COGS</t>
  </si>
  <si>
    <t>Gross Profit</t>
  </si>
  <si>
    <t>Shipping Cost</t>
  </si>
  <si>
    <t>Channel</t>
  </si>
  <si>
    <t>Campaign</t>
  </si>
  <si>
    <t>Spend</t>
  </si>
  <si>
    <t>Impressions</t>
  </si>
  <si>
    <t>Clicks</t>
  </si>
  <si>
    <t>CTR</t>
  </si>
  <si>
    <t>Conv.</t>
  </si>
  <si>
    <t>ROAS</t>
  </si>
  <si>
    <t>LC-4001</t>
  </si>
  <si>
    <t>Amit Sharma</t>
  </si>
  <si>
    <t>amit@email.com</t>
  </si>
  <si>
    <t>M</t>
  </si>
  <si>
    <t>Mumbai</t>
  </si>
  <si>
    <t>MH</t>
  </si>
  <si>
    <t>West</t>
  </si>
  <si>
    <t>New</t>
  </si>
  <si>
    <t>LipX</t>
  </si>
  <si>
    <t>Lip Care</t>
  </si>
  <si>
    <t>LX-01</t>
  </si>
  <si>
    <t>SAVE10</t>
  </si>
  <si>
    <t>Meta</t>
  </si>
  <si>
    <t>Launch_V1</t>
  </si>
  <si>
    <t>LC-4002</t>
  </si>
  <si>
    <t>Priya Das</t>
  </si>
  <si>
    <t>pri@email.com</t>
  </si>
  <si>
    <t>F</t>
  </si>
  <si>
    <t>Delhi</t>
  </si>
  <si>
    <t>DL</t>
  </si>
  <si>
    <t>North</t>
  </si>
  <si>
    <t>Loyal</t>
  </si>
  <si>
    <t>Sea Buckthorn</t>
  </si>
  <si>
    <t>Soap</t>
  </si>
  <si>
    <t>SB-02</t>
  </si>
  <si>
    <t>NONE</t>
  </si>
  <si>
    <t>Google</t>
  </si>
  <si>
    <t>Search_Br</t>
  </si>
  <si>
    <t>LC-4003</t>
  </si>
  <si>
    <t>Rahul Varma</t>
  </si>
  <si>
    <t>r.v@email.com</t>
  </si>
  <si>
    <t>Bangalore</t>
  </si>
  <si>
    <t>KA</t>
  </si>
  <si>
    <t>South</t>
  </si>
  <si>
    <t>Papaya Soap</t>
  </si>
  <si>
    <t>PS-01</t>
  </si>
  <si>
    <t>WELCOME</t>
  </si>
  <si>
    <t>Retarget</t>
  </si>
  <si>
    <t>LC-4004</t>
  </si>
  <si>
    <t>Sneha Kapur</t>
  </si>
  <si>
    <t>sn@email.com</t>
  </si>
  <si>
    <t>Pune</t>
  </si>
  <si>
    <t>Lip Scrub</t>
  </si>
  <si>
    <t>LS-04</t>
  </si>
  <si>
    <t>Organic</t>
  </si>
  <si>
    <t>N/A</t>
  </si>
  <si>
    <t>LC-4005</t>
  </si>
  <si>
    <t>Vikram Seth</t>
  </si>
  <si>
    <t>vik@email.com</t>
  </si>
  <si>
    <t>Kolkata</t>
  </si>
  <si>
    <t>WB</t>
  </si>
  <si>
    <t>East</t>
  </si>
  <si>
    <t>VIP</t>
  </si>
  <si>
    <t>VIP15</t>
  </si>
  <si>
    <t>Influencer</t>
  </si>
  <si>
    <t>Mar_Collab</t>
  </si>
  <si>
    <t>LC-4006</t>
  </si>
  <si>
    <t>Anjali Nair</t>
  </si>
  <si>
    <t>anj@email.com</t>
  </si>
  <si>
    <t>Kochi</t>
  </si>
  <si>
    <t>KL</t>
  </si>
  <si>
    <t>SAVE05</t>
  </si>
  <si>
    <t>LC-4007</t>
  </si>
  <si>
    <t>Rohan Mehta</t>
  </si>
  <si>
    <t>roh@email.com</t>
  </si>
  <si>
    <t>Ahmedabad</t>
  </si>
  <si>
    <t>GJ</t>
  </si>
  <si>
    <t>Search_Gen</t>
  </si>
  <si>
    <t>LC-4008</t>
  </si>
  <si>
    <t>Ishita Ray</t>
  </si>
  <si>
    <t>ish@email.com</t>
  </si>
  <si>
    <t>Hyderabad</t>
  </si>
  <si>
    <t>TS</t>
  </si>
  <si>
    <t>VIP10</t>
  </si>
  <si>
    <t>LC-4009</t>
  </si>
  <si>
    <t>Kabir Singh</t>
  </si>
  <si>
    <t>kabir@email.com</t>
  </si>
  <si>
    <t>Chandigarh</t>
  </si>
  <si>
    <t>CH</t>
  </si>
  <si>
    <t>LC-4010</t>
  </si>
  <si>
    <t>Megha Jain</t>
  </si>
  <si>
    <t>mj@email.com</t>
  </si>
  <si>
    <t>Jaipur</t>
  </si>
  <si>
    <t>RJ</t>
  </si>
  <si>
    <t>Date</t>
  </si>
  <si>
    <t>Grand Total</t>
  </si>
  <si>
    <t>Row Labels</t>
  </si>
  <si>
    <t>Sum of Spend</t>
  </si>
  <si>
    <t>Sum of ROAS</t>
  </si>
  <si>
    <t>Sum of Clicks</t>
  </si>
  <si>
    <t>Sum of Conv.</t>
  </si>
  <si>
    <t>per click costing = 0.68</t>
  </si>
  <si>
    <t xml:space="preserve">Summary </t>
  </si>
  <si>
    <t>100 conv costing - 14600</t>
  </si>
  <si>
    <t>product sell cost - 367 (avg for all product)</t>
  </si>
  <si>
    <t>profit-= 36700-14600 = 22100</t>
  </si>
  <si>
    <t>for 100 - 36700</t>
  </si>
  <si>
    <t>Shipping cost - avg - 55</t>
  </si>
  <si>
    <t>367-146-55-80 = 86</t>
  </si>
  <si>
    <t>86-(COGS - Cost of Good Sold avg) = 86-112</t>
  </si>
  <si>
    <t>Item</t>
  </si>
  <si>
    <t>Cost</t>
  </si>
  <si>
    <t>Percentage of Sale</t>
  </si>
  <si>
    <t>Average Sell Price</t>
  </si>
  <si>
    <t>+ ₹367</t>
  </si>
  <si>
    <t>Marketing (Ads)</t>
  </si>
  <si>
    <t>- ₹146</t>
  </si>
  <si>
    <t>COGS (Manufacturing)</t>
  </si>
  <si>
    <t>- ₹112</t>
  </si>
  <si>
    <t>RTO (Returns/Losses)</t>
  </si>
  <si>
    <t>- ₹80</t>
  </si>
  <si>
    <t>Shipping</t>
  </si>
  <si>
    <t>- ₹55</t>
  </si>
  <si>
    <t>Net Profit</t>
  </si>
  <si>
    <t>- ₹26</t>
  </si>
  <si>
    <t>-7.1% (Loss)</t>
  </si>
  <si>
    <r>
      <t xml:space="preserve">one conv cost - </t>
    </r>
    <r>
      <rPr>
        <sz val="11"/>
        <color rgb="FFFF0000"/>
        <rFont val="Calibri"/>
        <family val="2"/>
        <scheme val="minor"/>
      </rPr>
      <t>146 (CPA)</t>
    </r>
  </si>
  <si>
    <r>
      <t>RTO -</t>
    </r>
    <r>
      <rPr>
        <sz val="11"/>
        <color rgb="FFFF0000"/>
        <rFont val="Calibri"/>
        <family val="2"/>
        <scheme val="minor"/>
      </rPr>
      <t xml:space="preserve"> 80</t>
    </r>
  </si>
  <si>
    <t xml:space="preserve">Problem </t>
  </si>
  <si>
    <t>Reduce CPA</t>
  </si>
  <si>
    <t>Reduce RTO</t>
  </si>
  <si>
    <t>CURRENT STATUS</t>
  </si>
  <si>
    <t>Metric</t>
  </si>
  <si>
    <t>Current Baseline</t>
  </si>
  <si>
    <t>Improved Model</t>
  </si>
  <si>
    <t>Impact</t>
  </si>
  <si>
    <t>Ad Spend (CPA)</t>
  </si>
  <si>
    <t>₹146</t>
  </si>
  <si>
    <t>₹80</t>
  </si>
  <si>
    <t>Saved ₹66</t>
  </si>
  <si>
    <t>RTO Loss</t>
  </si>
  <si>
    <t>₹40</t>
  </si>
  <si>
    <t>Saved ₹40</t>
  </si>
  <si>
    <t>₹112</t>
  </si>
  <si>
    <t>No Change</t>
  </si>
  <si>
    <t>₹55</t>
  </si>
  <si>
    <t>Total Cost</t>
  </si>
  <si>
    <t>₹393</t>
  </si>
  <si>
    <t>₹287</t>
  </si>
  <si>
    <t>-27% Expenses</t>
  </si>
  <si>
    <t>Net Profit/Loss</t>
  </si>
  <si>
    <t>-₹26</t>
  </si>
  <si>
    <t>+₹80</t>
  </si>
  <si>
    <t>Flip to Profit</t>
  </si>
  <si>
    <t>UPDATED VERSION</t>
  </si>
  <si>
    <t>Current (Loss)</t>
  </si>
  <si>
    <t>Improved (Profit)</t>
  </si>
  <si>
    <t>Strategy</t>
  </si>
  <si>
    <t>Current Setup (High CPA)</t>
  </si>
  <si>
    <t>New Setup (Target ₹80)</t>
  </si>
  <si>
    <t>Audience Targeting</t>
  </si>
  <si>
    <t>Broad interest (e.g., "Skincare")</t>
  </si>
  <si>
    <t>Custom Lookalike (1% of Buyers)</t>
  </si>
  <si>
    <t>Retargeting</t>
  </si>
  <si>
    <t>Not active or very low budget</t>
  </si>
  <si>
    <t>70% Budget on Cart Abandoners</t>
  </si>
  <si>
    <t>Ad Creative</t>
  </si>
  <si>
    <t>Static product images</t>
  </si>
  <si>
    <t>UGC (User Generated Content)</t>
  </si>
  <si>
    <t>Bidding Strategy</t>
  </si>
  <si>
    <t>Lowest Cost (Auto)</t>
  </si>
  <si>
    <t>Cost Cap at ₹100</t>
  </si>
  <si>
    <t>NEW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</si>
</sst>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0" borderId="0" xfId="0" applyNumberFormat="1"/>
    <xf numFmtId="10" fontId="0" fillId="0" borderId="0" xfId="0" applyNumberFormat="1"/>
    <xf numFmtId="0" fontId="3" fillId="0" borderId="1" xfId="0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9" fontId="3" fillId="0" borderId="1" xfId="0" applyNumberFormat="1" applyFont="1" applyBorder="1" applyAlignment="1">
      <alignment horizontal="center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6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4" fillId="7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2" fillId="8" borderId="0" xfId="0" applyFont="1" applyFill="1"/>
    <xf numFmtId="0" fontId="0" fillId="8" borderId="0" xfId="0" applyFill="1"/>
    <xf numFmtId="0" fontId="0" fillId="9" borderId="0" xfId="0" applyFill="1" applyAlignment="1">
      <alignment horizontal="center"/>
    </xf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Performance Analysis Dashboard.xlsx]Homework!PivotTable3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Homework!$S$25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Homework!$R$26:$R$30</c:f>
              <c:strCache>
                <c:ptCount val="4"/>
                <c:pt idx="0">
                  <c:v>Google</c:v>
                </c:pt>
                <c:pt idx="1">
                  <c:v>Influencer</c:v>
                </c:pt>
                <c:pt idx="2">
                  <c:v>Meta</c:v>
                </c:pt>
                <c:pt idx="3">
                  <c:v>Organic</c:v>
                </c:pt>
              </c:strCache>
            </c:strRef>
          </c:cat>
          <c:val>
            <c:numRef>
              <c:f>Homework!$S$26:$S$30</c:f>
              <c:numCache>
                <c:formatCode>General</c:formatCode>
                <c:ptCount val="4"/>
                <c:pt idx="0">
                  <c:v>180</c:v>
                </c:pt>
                <c:pt idx="1">
                  <c:v>350</c:v>
                </c:pt>
                <c:pt idx="2">
                  <c:v>930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Homework!$T$25</c:f>
              <c:strCache>
                <c:ptCount val="1"/>
                <c:pt idx="0">
                  <c:v>Sum of ROAS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Homework!$R$26:$R$30</c:f>
              <c:strCache>
                <c:ptCount val="4"/>
                <c:pt idx="0">
                  <c:v>Google</c:v>
                </c:pt>
                <c:pt idx="1">
                  <c:v>Influencer</c:v>
                </c:pt>
                <c:pt idx="2">
                  <c:v>Meta</c:v>
                </c:pt>
                <c:pt idx="3">
                  <c:v>Organic</c:v>
                </c:pt>
              </c:strCache>
            </c:strRef>
          </c:cat>
          <c:val>
            <c:numRef>
              <c:f>Homework!$T$26:$T$30</c:f>
              <c:numCache>
                <c:formatCode>General</c:formatCode>
                <c:ptCount val="4"/>
                <c:pt idx="0">
                  <c:v>7.5</c:v>
                </c:pt>
                <c:pt idx="1">
                  <c:v>5.98</c:v>
                </c:pt>
                <c:pt idx="2">
                  <c:v>15.429999999999998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501752"/>
        <c:axId val="344502928"/>
      </c:barChart>
      <c:catAx>
        <c:axId val="344501752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02928"/>
        <c:crosses val="autoZero"/>
        <c:auto val="1"/>
        <c:lblAlgn val="ctr"/>
        <c:lblOffset val="100"/>
        <c:noMultiLvlLbl val="0"/>
      </c:catAx>
      <c:valAx>
        <c:axId val="3445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01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Performance Analysis Dashboard.xlsx]Homework!PivotTable4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Homework!$P$7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Homework!$P$8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Homework!$P$8</c:f>
              <c:numCache>
                <c:formatCode>General</c:formatCode>
                <c:ptCount val="1"/>
                <c:pt idx="0">
                  <c:v>1460</c:v>
                </c:pt>
              </c:numCache>
            </c:numRef>
          </c:val>
        </c:ser>
        <c:ser>
          <c:idx val="1"/>
          <c:order val="1"/>
          <c:tx>
            <c:strRef>
              <c:f>Homework!$Q$7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Homework!$P$8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Homework!$Q$8</c:f>
              <c:numCache>
                <c:formatCode>General</c:formatCode>
                <c:ptCount val="1"/>
                <c:pt idx="0">
                  <c:v>2155</c:v>
                </c:pt>
              </c:numCache>
            </c:numRef>
          </c:val>
        </c:ser>
        <c:ser>
          <c:idx val="2"/>
          <c:order val="2"/>
          <c:tx>
            <c:strRef>
              <c:f>Homework!$R$7</c:f>
              <c:strCache>
                <c:ptCount val="1"/>
                <c:pt idx="0">
                  <c:v>Sum of Conv.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Homework!$P$8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Homework!$R$8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4508416"/>
        <c:axId val="344508808"/>
      </c:barChart>
      <c:catAx>
        <c:axId val="3445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08808"/>
        <c:crosses val="autoZero"/>
        <c:auto val="1"/>
        <c:lblAlgn val="ctr"/>
        <c:lblOffset val="100"/>
        <c:noMultiLvlLbl val="0"/>
      </c:catAx>
      <c:valAx>
        <c:axId val="34450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Analyse!$B$5:$C$5</c:f>
              <c:strCache>
                <c:ptCount val="2"/>
                <c:pt idx="0">
                  <c:v>Average Sell Price</c:v>
                </c:pt>
                <c:pt idx="1">
                  <c:v>+ ₹367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</c:f>
              <c:strCache>
                <c:ptCount val="1"/>
                <c:pt idx="0">
                  <c:v>Percentage of Sale</c:v>
                </c:pt>
              </c:strCache>
            </c:strRef>
          </c:cat>
          <c:val>
            <c:numRef>
              <c:f>Analyse!$D$5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Analyse!$B$6:$C$6</c:f>
              <c:strCache>
                <c:ptCount val="2"/>
                <c:pt idx="0">
                  <c:v>Marketing (Ads)</c:v>
                </c:pt>
                <c:pt idx="1">
                  <c:v>- ₹146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</c:f>
              <c:strCache>
                <c:ptCount val="1"/>
                <c:pt idx="0">
                  <c:v>Percentage of Sale</c:v>
                </c:pt>
              </c:strCache>
            </c:strRef>
          </c:cat>
          <c:val>
            <c:numRef>
              <c:f>Analyse!$D$6</c:f>
              <c:numCache>
                <c:formatCode>0.00%</c:formatCode>
                <c:ptCount val="1"/>
                <c:pt idx="0">
                  <c:v>0.39800000000000002</c:v>
                </c:pt>
              </c:numCache>
            </c:numRef>
          </c:val>
        </c:ser>
        <c:ser>
          <c:idx val="2"/>
          <c:order val="2"/>
          <c:tx>
            <c:strRef>
              <c:f>Analyse!$B$7:$C$7</c:f>
              <c:strCache>
                <c:ptCount val="2"/>
                <c:pt idx="0">
                  <c:v>COGS (Manufacturing)</c:v>
                </c:pt>
                <c:pt idx="1">
                  <c:v>- ₹112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</c:f>
              <c:strCache>
                <c:ptCount val="1"/>
                <c:pt idx="0">
                  <c:v>Percentage of Sale</c:v>
                </c:pt>
              </c:strCache>
            </c:strRef>
          </c:cat>
          <c:val>
            <c:numRef>
              <c:f>Analyse!$D$7</c:f>
              <c:numCache>
                <c:formatCode>0.00%</c:formatCode>
                <c:ptCount val="1"/>
                <c:pt idx="0">
                  <c:v>0.30499999999999999</c:v>
                </c:pt>
              </c:numCache>
            </c:numRef>
          </c:val>
        </c:ser>
        <c:ser>
          <c:idx val="3"/>
          <c:order val="3"/>
          <c:tx>
            <c:strRef>
              <c:f>Analyse!$B$8:$C$8</c:f>
              <c:strCache>
                <c:ptCount val="2"/>
                <c:pt idx="0">
                  <c:v>RTO (Returns/Losses)</c:v>
                </c:pt>
                <c:pt idx="1">
                  <c:v>- ₹80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</c:f>
              <c:strCache>
                <c:ptCount val="1"/>
                <c:pt idx="0">
                  <c:v>Percentage of Sale</c:v>
                </c:pt>
              </c:strCache>
            </c:strRef>
          </c:cat>
          <c:val>
            <c:numRef>
              <c:f>Analyse!$D$8</c:f>
              <c:numCache>
                <c:formatCode>0.00%</c:formatCode>
                <c:ptCount val="1"/>
                <c:pt idx="0">
                  <c:v>0.218</c:v>
                </c:pt>
              </c:numCache>
            </c:numRef>
          </c:val>
        </c:ser>
        <c:ser>
          <c:idx val="4"/>
          <c:order val="4"/>
          <c:tx>
            <c:strRef>
              <c:f>Analyse!$B$9:$C$9</c:f>
              <c:strCache>
                <c:ptCount val="2"/>
                <c:pt idx="0">
                  <c:v>Shipping</c:v>
                </c:pt>
                <c:pt idx="1">
                  <c:v>- ₹55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</c:f>
              <c:strCache>
                <c:ptCount val="1"/>
                <c:pt idx="0">
                  <c:v>Percentage of Sale</c:v>
                </c:pt>
              </c:strCache>
            </c:strRef>
          </c:cat>
          <c:val>
            <c:numRef>
              <c:f>Analyse!$D$9</c:f>
              <c:numCache>
                <c:formatCode>0.00%</c:formatCode>
                <c:ptCount val="1"/>
                <c:pt idx="0">
                  <c:v>0.15</c:v>
                </c:pt>
              </c:numCache>
            </c:numRef>
          </c:val>
        </c:ser>
        <c:ser>
          <c:idx val="5"/>
          <c:order val="5"/>
          <c:tx>
            <c:strRef>
              <c:f>Analyse!$B$10:$C$10</c:f>
              <c:strCache>
                <c:ptCount val="2"/>
                <c:pt idx="0">
                  <c:v>Net Profit</c:v>
                </c:pt>
                <c:pt idx="1">
                  <c:v>- ₹26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</c:f>
              <c:strCache>
                <c:ptCount val="1"/>
                <c:pt idx="0">
                  <c:v>Percentage of Sale</c:v>
                </c:pt>
              </c:strCache>
            </c:strRef>
          </c:cat>
          <c:val>
            <c:numRef>
              <c:f>Analyse!$D$10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376091296"/>
        <c:axId val="376090120"/>
      </c:barChart>
      <c:catAx>
        <c:axId val="37609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0120"/>
        <c:crosses val="autoZero"/>
        <c:auto val="1"/>
        <c:lblAlgn val="ctr"/>
        <c:lblOffset val="100"/>
        <c:noMultiLvlLbl val="0"/>
      </c:catAx>
      <c:valAx>
        <c:axId val="376090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Updated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Analyse!$N$4</c:f>
              <c:strCache>
                <c:ptCount val="1"/>
                <c:pt idx="0">
                  <c:v>Current (Loss)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Analyse!$M$5:$M$8</c:f>
              <c:strCache>
                <c:ptCount val="4"/>
                <c:pt idx="0">
                  <c:v>Ad Spend (CPA)</c:v>
                </c:pt>
                <c:pt idx="1">
                  <c:v>RTO Loss</c:v>
                </c:pt>
                <c:pt idx="2">
                  <c:v>COGS</c:v>
                </c:pt>
                <c:pt idx="3">
                  <c:v>Shipping</c:v>
                </c:pt>
              </c:strCache>
            </c:strRef>
          </c:cat>
          <c:val>
            <c:numRef>
              <c:f>Analyse!$N$5:$N$8</c:f>
              <c:numCache>
                <c:formatCode>General</c:formatCode>
                <c:ptCount val="4"/>
                <c:pt idx="0">
                  <c:v>146</c:v>
                </c:pt>
                <c:pt idx="1">
                  <c:v>80</c:v>
                </c:pt>
                <c:pt idx="2">
                  <c:v>112</c:v>
                </c:pt>
                <c:pt idx="3">
                  <c:v>55</c:v>
                </c:pt>
              </c:numCache>
            </c:numRef>
          </c:val>
        </c:ser>
        <c:ser>
          <c:idx val="1"/>
          <c:order val="1"/>
          <c:tx>
            <c:strRef>
              <c:f>Analyse!$O$4</c:f>
              <c:strCache>
                <c:ptCount val="1"/>
                <c:pt idx="0">
                  <c:v>Improved (Profit)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Analyse!$M$5:$M$8</c:f>
              <c:strCache>
                <c:ptCount val="4"/>
                <c:pt idx="0">
                  <c:v>Ad Spend (CPA)</c:v>
                </c:pt>
                <c:pt idx="1">
                  <c:v>RTO Loss</c:v>
                </c:pt>
                <c:pt idx="2">
                  <c:v>COGS</c:v>
                </c:pt>
                <c:pt idx="3">
                  <c:v>Shipping</c:v>
                </c:pt>
              </c:strCache>
            </c:strRef>
          </c:cat>
          <c:val>
            <c:numRef>
              <c:f>Analyse!$O$5:$O$8</c:f>
              <c:numCache>
                <c:formatCode>General</c:formatCode>
                <c:ptCount val="4"/>
                <c:pt idx="0">
                  <c:v>80</c:v>
                </c:pt>
                <c:pt idx="1">
                  <c:v>40</c:v>
                </c:pt>
                <c:pt idx="2">
                  <c:v>112</c:v>
                </c:pt>
                <c:pt idx="3">
                  <c:v>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84741728"/>
        <c:axId val="384742120"/>
      </c:barChart>
      <c:catAx>
        <c:axId val="3847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42120"/>
        <c:crosses val="autoZero"/>
        <c:auto val="1"/>
        <c:lblAlgn val="ctr"/>
        <c:lblOffset val="100"/>
        <c:noMultiLvlLbl val="0"/>
      </c:catAx>
      <c:valAx>
        <c:axId val="38474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4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14</xdr:row>
      <xdr:rowOff>80961</xdr:rowOff>
    </xdr:from>
    <xdr:to>
      <xdr:col>9</xdr:col>
      <xdr:colOff>76200</xdr:colOff>
      <xdr:row>32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8</xdr:row>
      <xdr:rowOff>90487</xdr:rowOff>
    </xdr:from>
    <xdr:to>
      <xdr:col>19</xdr:col>
      <xdr:colOff>552450</xdr:colOff>
      <xdr:row>22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1876425</xdr:colOff>
      <xdr:row>18</xdr:row>
      <xdr:rowOff>133350</xdr:rowOff>
    </xdr:from>
    <xdr:to>
      <xdr:col>20</xdr:col>
      <xdr:colOff>2171700</xdr:colOff>
      <xdr:row>20</xdr:row>
      <xdr:rowOff>76200</xdr:rowOff>
    </xdr:to>
    <xdr:sp macro="" textlink="">
      <xdr:nvSpPr>
        <xdr:cNvPr id="5" name="Oval 4"/>
        <xdr:cNvSpPr/>
      </xdr:nvSpPr>
      <xdr:spPr>
        <a:xfrm>
          <a:off x="15287625" y="3562350"/>
          <a:ext cx="295275" cy="3238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180974</xdr:rowOff>
    </xdr:from>
    <xdr:to>
      <xdr:col>4</xdr:col>
      <xdr:colOff>9525</xdr:colOff>
      <xdr:row>34</xdr:row>
      <xdr:rowOff>190499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152401</xdr:colOff>
      <xdr:row>8</xdr:row>
      <xdr:rowOff>19050</xdr:rowOff>
    </xdr:from>
    <xdr:to>
      <xdr:col>17</xdr:col>
      <xdr:colOff>400050</xdr:colOff>
      <xdr:row>32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rojit" refreshedDate="46098.707045138886" createdVersion="5" refreshedVersion="5" minRefreshableVersion="3" recordCount="10">
  <cacheSource type="worksheet">
    <worksheetSource ref="B3:D13" sheet="Homework"/>
  </cacheSource>
  <cacheFields count="3">
    <cacheField name="Channel" numFmtId="0">
      <sharedItems count="4">
        <s v="Meta"/>
        <s v="Google"/>
        <s v="Organic"/>
        <s v="Influencer"/>
      </sharedItems>
    </cacheField>
    <cacheField name="ROAS" numFmtId="0">
      <sharedItems containsSemiMixedTypes="0" containsString="0" containsNumber="1" minValue="0" maxValue="4.5599999999999996" count="8">
        <n v="3.59"/>
        <n v="3.5"/>
        <n v="4.5599999999999996"/>
        <n v="0"/>
        <n v="2.83"/>
        <n v="3.69"/>
        <n v="4"/>
        <n v="3.15"/>
      </sharedItems>
    </cacheField>
    <cacheField name="Spend" numFmtId="0">
      <sharedItems containsSemiMixedTypes="0" containsString="0" containsNumber="1" containsInteger="1" minValue="0" maxValue="300" count="8">
        <n v="250"/>
        <n v="100"/>
        <n v="200"/>
        <n v="0"/>
        <n v="150"/>
        <n v="180"/>
        <n v="80"/>
        <n v="3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urojit" refreshedDate="46098.715959027781" createdVersion="5" refreshedVersion="5" minRefreshableVersion="3" recordCount="10">
  <cacheSource type="worksheet">
    <worksheetSource ref="J6:L16" sheet="Homework"/>
  </cacheSource>
  <cacheFields count="3">
    <cacheField name="Spend" numFmtId="0">
      <sharedItems containsSemiMixedTypes="0" containsString="0" containsNumber="1" containsInteger="1" minValue="0" maxValue="300"/>
    </cacheField>
    <cacheField name="Clicks" numFmtId="0">
      <sharedItems containsSemiMixedTypes="0" containsString="0" containsNumber="1" containsInteger="1" minValue="0" maxValue="850"/>
    </cacheField>
    <cacheField name="Conv." numFmtId="0">
      <sharedItems containsSemiMixedTypes="0" containsString="0" containsNumber="1" containsInteger="1" minValue="1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</r>
  <r>
    <x v="1"/>
    <x v="1"/>
    <x v="1"/>
  </r>
  <r>
    <x v="0"/>
    <x v="2"/>
    <x v="2"/>
  </r>
  <r>
    <x v="2"/>
    <x v="3"/>
    <x v="3"/>
  </r>
  <r>
    <x v="3"/>
    <x v="4"/>
    <x v="4"/>
  </r>
  <r>
    <x v="0"/>
    <x v="5"/>
    <x v="5"/>
  </r>
  <r>
    <x v="1"/>
    <x v="6"/>
    <x v="6"/>
  </r>
  <r>
    <x v="0"/>
    <x v="0"/>
    <x v="7"/>
  </r>
  <r>
    <x v="2"/>
    <x v="3"/>
    <x v="3"/>
  </r>
  <r>
    <x v="3"/>
    <x v="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n v="250"/>
    <n v="150"/>
    <x v="0"/>
  </r>
  <r>
    <n v="100"/>
    <n v="80"/>
    <x v="0"/>
  </r>
  <r>
    <n v="200"/>
    <n v="120"/>
    <x v="0"/>
  </r>
  <r>
    <n v="0"/>
    <n v="0"/>
    <x v="0"/>
  </r>
  <r>
    <n v="150"/>
    <n v="600"/>
    <x v="0"/>
  </r>
  <r>
    <n v="180"/>
    <n v="110"/>
    <x v="0"/>
  </r>
  <r>
    <n v="80"/>
    <n v="45"/>
    <x v="0"/>
  </r>
  <r>
    <n v="300"/>
    <n v="200"/>
    <x v="0"/>
  </r>
  <r>
    <n v="0"/>
    <n v="0"/>
    <x v="0"/>
  </r>
  <r>
    <n v="200"/>
    <n v="8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P7:R8" firstHeaderRow="0" firstDataRow="1" firstDataCol="0"/>
  <pivotFields count="3">
    <pivotField dataField="1" showAll="0"/>
    <pivotField dataField="1" showAll="0"/>
    <pivotField dataField="1" showAll="0">
      <items count="2">
        <item x="0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0" baseField="0" baseItem="1"/>
    <dataField name="Sum of Clicks" fld="1" baseField="0" baseItem="0"/>
    <dataField name="Sum of Conv.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R25:T30" firstHeaderRow="0" firstDataRow="1" firstDataCol="1"/>
  <pivotFields count="3">
    <pivotField axis="axisRow" showAll="0">
      <items count="5">
        <item x="1"/>
        <item x="3"/>
        <item x="0"/>
        <item x="2"/>
        <item t="default"/>
      </items>
    </pivotField>
    <pivotField dataField="1" showAll="0">
      <items count="9">
        <item x="3"/>
        <item x="4"/>
        <item x="7"/>
        <item x="1"/>
        <item x="0"/>
        <item x="5"/>
        <item x="6"/>
        <item x="2"/>
        <item t="default"/>
      </items>
    </pivotField>
    <pivotField dataField="1" showAll="0">
      <items count="9">
        <item x="3"/>
        <item x="6"/>
        <item x="1"/>
        <item x="4"/>
        <item x="5"/>
        <item x="2"/>
        <item x="0"/>
        <item x="7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2" baseField="0" baseItem="0"/>
    <dataField name="Sum of ROAS" fld="1" baseField="0" baseItem="0"/>
  </dataFields>
  <formats count="1">
    <format dxfId="0">
      <pivotArea dataOnly="0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image" Target="../media/image1.jpeg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zoomScale="110" zoomScaleNormal="110" workbookViewId="0">
      <selection activeCell="T17" sqref="T17"/>
    </sheetView>
  </sheetViews>
  <sheetFormatPr defaultRowHeight="15" x14ac:dyDescent="0.25"/>
  <cols>
    <col min="1" max="1" width="6.85546875" bestFit="1" customWidth="1"/>
    <col min="2" max="2" width="11.5703125" bestFit="1" customWidth="1"/>
    <col min="3" max="3" width="11.5703125" customWidth="1"/>
    <col min="4" max="4" width="8.28515625" bestFit="1" customWidth="1"/>
    <col min="5" max="5" width="10.85546875" customWidth="1"/>
    <col min="6" max="6" width="9" bestFit="1" customWidth="1"/>
    <col min="8" max="8" width="6.28515625" bestFit="1" customWidth="1"/>
    <col min="10" max="10" width="7.5703125" bestFit="1" customWidth="1"/>
    <col min="11" max="11" width="7.7109375" bestFit="1" customWidth="1"/>
    <col min="12" max="12" width="12" customWidth="1"/>
    <col min="13" max="13" width="8.85546875" bestFit="1" customWidth="1"/>
    <col min="14" max="14" width="11.28515625" customWidth="1"/>
    <col min="15" max="15" width="8.140625" bestFit="1" customWidth="1"/>
    <col min="16" max="16" width="7.7109375" bestFit="1" customWidth="1"/>
    <col min="17" max="17" width="5.85546875" bestFit="1" customWidth="1"/>
    <col min="18" max="18" width="8.5703125" bestFit="1" customWidth="1"/>
    <col min="19" max="19" width="14.140625" customWidth="1"/>
    <col min="20" max="20" width="12.28515625" customWidth="1"/>
    <col min="21" max="21" width="12.140625" customWidth="1"/>
    <col min="22" max="22" width="8.85546875" bestFit="1" customWidth="1"/>
    <col min="23" max="23" width="8.5703125" bestFit="1" customWidth="1"/>
    <col min="24" max="25" width="11.28515625" customWidth="1"/>
    <col min="26" max="26" width="12" customWidth="1"/>
    <col min="27" max="27" width="9" bestFit="1" customWidth="1"/>
    <col min="28" max="28" width="14.85546875" customWidth="1"/>
    <col min="29" max="29" width="8.5703125" bestFit="1" customWidth="1"/>
    <col min="30" max="30" width="9.42578125" bestFit="1" customWidth="1"/>
    <col min="31" max="31" width="8.42578125" bestFit="1" customWidth="1"/>
    <col min="32" max="32" width="7.5703125" bestFit="1" customWidth="1"/>
  </cols>
  <sheetData>
    <row r="1" spans="1:32" ht="15.75" thickBot="1" x14ac:dyDescent="0.3"/>
    <row r="2" spans="1:32" ht="30.75" thickBot="1" x14ac:dyDescent="0.3">
      <c r="A2" s="23" t="s">
        <v>0</v>
      </c>
      <c r="B2" s="23" t="s">
        <v>1</v>
      </c>
      <c r="C2" s="23" t="s">
        <v>115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15</v>
      </c>
      <c r="R2" s="23" t="s">
        <v>16</v>
      </c>
      <c r="S2" s="23" t="s">
        <v>17</v>
      </c>
      <c r="T2" s="23" t="s">
        <v>18</v>
      </c>
      <c r="U2" s="23" t="s">
        <v>19</v>
      </c>
      <c r="V2" s="23" t="s">
        <v>20</v>
      </c>
      <c r="W2" s="23" t="s">
        <v>21</v>
      </c>
      <c r="X2" s="23" t="s">
        <v>22</v>
      </c>
      <c r="Y2" s="23" t="s">
        <v>23</v>
      </c>
      <c r="Z2" s="23" t="s">
        <v>24</v>
      </c>
      <c r="AA2" s="23" t="s">
        <v>25</v>
      </c>
      <c r="AB2" s="23" t="s">
        <v>26</v>
      </c>
      <c r="AC2" s="23" t="s">
        <v>27</v>
      </c>
      <c r="AD2" s="23" t="s">
        <v>28</v>
      </c>
      <c r="AE2" s="23" t="s">
        <v>29</v>
      </c>
      <c r="AF2" s="23" t="s">
        <v>30</v>
      </c>
    </row>
    <row r="3" spans="1:32" ht="43.5" thickBot="1" x14ac:dyDescent="0.3">
      <c r="A3" s="25">
        <v>1</v>
      </c>
      <c r="B3" s="4">
        <v>46082</v>
      </c>
      <c r="C3" s="4" t="str">
        <f>TEXT(B3,"DDDD")</f>
        <v>Sunday</v>
      </c>
      <c r="D3" s="3" t="s">
        <v>31</v>
      </c>
      <c r="E3" s="24" t="s">
        <v>32</v>
      </c>
      <c r="F3" s="3" t="s">
        <v>33</v>
      </c>
      <c r="G3" s="3" t="s">
        <v>34</v>
      </c>
      <c r="H3" s="3">
        <v>28</v>
      </c>
      <c r="I3" s="3" t="s">
        <v>35</v>
      </c>
      <c r="J3" s="3" t="s">
        <v>36</v>
      </c>
      <c r="K3" s="3" t="s">
        <v>37</v>
      </c>
      <c r="L3" s="3" t="s">
        <v>38</v>
      </c>
      <c r="M3" s="25" t="s">
        <v>39</v>
      </c>
      <c r="N3" s="3" t="s">
        <v>40</v>
      </c>
      <c r="O3" s="3" t="s">
        <v>41</v>
      </c>
      <c r="P3" s="3">
        <v>499</v>
      </c>
      <c r="Q3" s="3">
        <v>2</v>
      </c>
      <c r="R3" s="3">
        <v>998</v>
      </c>
      <c r="S3" s="5">
        <v>0.1</v>
      </c>
      <c r="T3" s="3" t="s">
        <v>42</v>
      </c>
      <c r="U3" s="27">
        <v>898</v>
      </c>
      <c r="V3" s="3">
        <v>300</v>
      </c>
      <c r="W3" s="3">
        <v>598</v>
      </c>
      <c r="X3" s="3">
        <v>50</v>
      </c>
      <c r="Y3" s="3" t="s">
        <v>43</v>
      </c>
      <c r="Z3" s="3" t="s">
        <v>44</v>
      </c>
      <c r="AA3" s="3">
        <v>250</v>
      </c>
      <c r="AB3" s="3">
        <v>5000</v>
      </c>
      <c r="AC3" s="3">
        <v>150</v>
      </c>
      <c r="AD3" s="6">
        <v>0.03</v>
      </c>
      <c r="AE3" s="3">
        <v>1</v>
      </c>
      <c r="AF3" s="3">
        <v>3.59</v>
      </c>
    </row>
    <row r="4" spans="1:32" ht="43.5" thickBot="1" x14ac:dyDescent="0.3">
      <c r="A4" s="25">
        <v>2</v>
      </c>
      <c r="B4" s="4">
        <v>46082</v>
      </c>
      <c r="C4" s="4" t="str">
        <f t="shared" ref="C4:C12" si="0">TEXT(B4,"DDDD")</f>
        <v>Sunday</v>
      </c>
      <c r="D4" s="3" t="s">
        <v>45</v>
      </c>
      <c r="E4" s="24" t="s">
        <v>46</v>
      </c>
      <c r="F4" s="3" t="s">
        <v>47</v>
      </c>
      <c r="G4" s="3" t="s">
        <v>48</v>
      </c>
      <c r="H4" s="3">
        <v>24</v>
      </c>
      <c r="I4" s="3" t="s">
        <v>49</v>
      </c>
      <c r="J4" s="3" t="s">
        <v>50</v>
      </c>
      <c r="K4" s="3" t="s">
        <v>51</v>
      </c>
      <c r="L4" s="3" t="s">
        <v>52</v>
      </c>
      <c r="M4" s="25" t="s">
        <v>53</v>
      </c>
      <c r="N4" s="3" t="s">
        <v>54</v>
      </c>
      <c r="O4" s="3" t="s">
        <v>55</v>
      </c>
      <c r="P4" s="3">
        <v>350</v>
      </c>
      <c r="Q4" s="3">
        <v>1</v>
      </c>
      <c r="R4" s="3">
        <v>350</v>
      </c>
      <c r="S4" s="5">
        <v>0</v>
      </c>
      <c r="T4" s="3" t="s">
        <v>56</v>
      </c>
      <c r="U4" s="26">
        <v>350</v>
      </c>
      <c r="V4" s="3">
        <v>120</v>
      </c>
      <c r="W4" s="3">
        <v>230</v>
      </c>
      <c r="X4" s="3">
        <v>60</v>
      </c>
      <c r="Y4" s="3" t="s">
        <v>57</v>
      </c>
      <c r="Z4" s="3" t="s">
        <v>58</v>
      </c>
      <c r="AA4" s="3">
        <v>100</v>
      </c>
      <c r="AB4" s="3">
        <v>2000</v>
      </c>
      <c r="AC4" s="3">
        <v>80</v>
      </c>
      <c r="AD4" s="6">
        <v>0.04</v>
      </c>
      <c r="AE4" s="3">
        <v>1</v>
      </c>
      <c r="AF4" s="3">
        <v>3.5</v>
      </c>
    </row>
    <row r="5" spans="1:32" ht="29.25" thickBot="1" x14ac:dyDescent="0.3">
      <c r="A5" s="25">
        <v>3</v>
      </c>
      <c r="B5" s="4">
        <v>46083</v>
      </c>
      <c r="C5" s="4" t="str">
        <f t="shared" si="0"/>
        <v>Monday</v>
      </c>
      <c r="D5" s="3" t="s">
        <v>59</v>
      </c>
      <c r="E5" s="24" t="s">
        <v>60</v>
      </c>
      <c r="F5" s="3" t="s">
        <v>61</v>
      </c>
      <c r="G5" s="3" t="s">
        <v>34</v>
      </c>
      <c r="H5" s="3">
        <v>31</v>
      </c>
      <c r="I5" s="3" t="s">
        <v>62</v>
      </c>
      <c r="J5" s="3" t="s">
        <v>63</v>
      </c>
      <c r="K5" s="3" t="s">
        <v>64</v>
      </c>
      <c r="L5" s="3" t="s">
        <v>38</v>
      </c>
      <c r="M5" s="25" t="s">
        <v>65</v>
      </c>
      <c r="N5" s="3" t="s">
        <v>54</v>
      </c>
      <c r="O5" s="3" t="s">
        <v>66</v>
      </c>
      <c r="P5" s="3">
        <v>320</v>
      </c>
      <c r="Q5" s="3">
        <v>3</v>
      </c>
      <c r="R5" s="3">
        <v>960</v>
      </c>
      <c r="S5" s="5">
        <v>0.05</v>
      </c>
      <c r="T5" s="3" t="s">
        <v>67</v>
      </c>
      <c r="U5" s="27">
        <v>912</v>
      </c>
      <c r="V5" s="3">
        <v>270</v>
      </c>
      <c r="W5" s="3">
        <v>642</v>
      </c>
      <c r="X5" s="3">
        <v>50</v>
      </c>
      <c r="Y5" s="3" t="s">
        <v>43</v>
      </c>
      <c r="Z5" s="3" t="s">
        <v>68</v>
      </c>
      <c r="AA5" s="3">
        <v>200</v>
      </c>
      <c r="AB5" s="3">
        <v>4500</v>
      </c>
      <c r="AC5" s="3">
        <v>120</v>
      </c>
      <c r="AD5" s="6">
        <v>2.5999999999999999E-2</v>
      </c>
      <c r="AE5" s="3">
        <v>1</v>
      </c>
      <c r="AF5" s="3">
        <v>4.5599999999999996</v>
      </c>
    </row>
    <row r="6" spans="1:32" ht="29.25" thickBot="1" x14ac:dyDescent="0.3">
      <c r="A6" s="25">
        <v>4</v>
      </c>
      <c r="B6" s="4">
        <v>46083</v>
      </c>
      <c r="C6" s="4" t="str">
        <f t="shared" si="0"/>
        <v>Monday</v>
      </c>
      <c r="D6" s="3" t="s">
        <v>69</v>
      </c>
      <c r="E6" s="24" t="s">
        <v>70</v>
      </c>
      <c r="F6" s="3" t="s">
        <v>71</v>
      </c>
      <c r="G6" s="3" t="s">
        <v>48</v>
      </c>
      <c r="H6" s="3">
        <v>22</v>
      </c>
      <c r="I6" s="3" t="s">
        <v>72</v>
      </c>
      <c r="J6" s="3" t="s">
        <v>36</v>
      </c>
      <c r="K6" s="3" t="s">
        <v>37</v>
      </c>
      <c r="L6" s="3" t="s">
        <v>38</v>
      </c>
      <c r="M6" s="25" t="s">
        <v>73</v>
      </c>
      <c r="N6" s="3" t="s">
        <v>40</v>
      </c>
      <c r="O6" s="3" t="s">
        <v>74</v>
      </c>
      <c r="P6" s="3">
        <v>299</v>
      </c>
      <c r="Q6" s="3">
        <v>1</v>
      </c>
      <c r="R6" s="3">
        <v>299</v>
      </c>
      <c r="S6" s="5">
        <v>0</v>
      </c>
      <c r="T6" s="3" t="s">
        <v>56</v>
      </c>
      <c r="U6" s="26">
        <v>299</v>
      </c>
      <c r="V6" s="3">
        <v>90</v>
      </c>
      <c r="W6" s="3">
        <v>209</v>
      </c>
      <c r="X6" s="3">
        <v>40</v>
      </c>
      <c r="Y6" s="3" t="s">
        <v>75</v>
      </c>
      <c r="Z6" s="3" t="s">
        <v>76</v>
      </c>
      <c r="AA6" s="3">
        <v>0</v>
      </c>
      <c r="AB6" s="3">
        <v>0</v>
      </c>
      <c r="AC6" s="3">
        <v>0</v>
      </c>
      <c r="AD6" s="6">
        <v>0</v>
      </c>
      <c r="AE6" s="3">
        <v>1</v>
      </c>
      <c r="AF6" s="27">
        <v>0</v>
      </c>
    </row>
    <row r="7" spans="1:32" ht="29.25" thickBot="1" x14ac:dyDescent="0.3">
      <c r="A7" s="25">
        <v>5</v>
      </c>
      <c r="B7" s="4">
        <v>46084</v>
      </c>
      <c r="C7" s="4" t="str">
        <f t="shared" si="0"/>
        <v>Tuesday</v>
      </c>
      <c r="D7" s="3" t="s">
        <v>77</v>
      </c>
      <c r="E7" s="24" t="s">
        <v>78</v>
      </c>
      <c r="F7" s="3" t="s">
        <v>79</v>
      </c>
      <c r="G7" s="3" t="s">
        <v>34</v>
      </c>
      <c r="H7" s="3">
        <v>35</v>
      </c>
      <c r="I7" s="3" t="s">
        <v>80</v>
      </c>
      <c r="J7" s="3" t="s">
        <v>81</v>
      </c>
      <c r="K7" s="3" t="s">
        <v>82</v>
      </c>
      <c r="L7" s="3" t="s">
        <v>83</v>
      </c>
      <c r="M7" s="25" t="s">
        <v>39</v>
      </c>
      <c r="N7" s="3" t="s">
        <v>40</v>
      </c>
      <c r="O7" s="3" t="s">
        <v>41</v>
      </c>
      <c r="P7" s="3">
        <v>499</v>
      </c>
      <c r="Q7" s="3">
        <v>1</v>
      </c>
      <c r="R7" s="3">
        <v>499</v>
      </c>
      <c r="S7" s="5">
        <v>0.15</v>
      </c>
      <c r="T7" s="3" t="s">
        <v>84</v>
      </c>
      <c r="U7" s="26">
        <v>424</v>
      </c>
      <c r="V7" s="3">
        <v>150</v>
      </c>
      <c r="W7" s="3">
        <v>274</v>
      </c>
      <c r="X7" s="3">
        <v>70</v>
      </c>
      <c r="Y7" s="3" t="s">
        <v>85</v>
      </c>
      <c r="Z7" s="3" t="s">
        <v>86</v>
      </c>
      <c r="AA7" s="3">
        <v>150</v>
      </c>
      <c r="AB7" s="3">
        <v>12000</v>
      </c>
      <c r="AC7" s="3">
        <v>600</v>
      </c>
      <c r="AD7" s="6">
        <v>0.05</v>
      </c>
      <c r="AE7" s="3">
        <v>1</v>
      </c>
      <c r="AF7" s="3">
        <v>2.83</v>
      </c>
    </row>
    <row r="8" spans="1:32" ht="43.5" thickBot="1" x14ac:dyDescent="0.3">
      <c r="A8" s="25">
        <v>6</v>
      </c>
      <c r="B8" s="4">
        <v>46084</v>
      </c>
      <c r="C8" s="4" t="str">
        <f t="shared" si="0"/>
        <v>Tuesday</v>
      </c>
      <c r="D8" s="3" t="s">
        <v>87</v>
      </c>
      <c r="E8" s="24" t="s">
        <v>88</v>
      </c>
      <c r="F8" s="3" t="s">
        <v>89</v>
      </c>
      <c r="G8" s="3" t="s">
        <v>48</v>
      </c>
      <c r="H8" s="3">
        <v>29</v>
      </c>
      <c r="I8" s="3" t="s">
        <v>90</v>
      </c>
      <c r="J8" s="3" t="s">
        <v>91</v>
      </c>
      <c r="K8" s="3" t="s">
        <v>64</v>
      </c>
      <c r="L8" s="3" t="s">
        <v>52</v>
      </c>
      <c r="M8" s="25" t="s">
        <v>53</v>
      </c>
      <c r="N8" s="3" t="s">
        <v>54</v>
      </c>
      <c r="O8" s="3" t="s">
        <v>55</v>
      </c>
      <c r="P8" s="3">
        <v>350</v>
      </c>
      <c r="Q8" s="3">
        <v>2</v>
      </c>
      <c r="R8" s="3">
        <v>700</v>
      </c>
      <c r="S8" s="5">
        <v>0.05</v>
      </c>
      <c r="T8" s="3" t="s">
        <v>92</v>
      </c>
      <c r="U8" s="27">
        <v>665</v>
      </c>
      <c r="V8" s="3">
        <v>240</v>
      </c>
      <c r="W8" s="3">
        <v>425</v>
      </c>
      <c r="X8" s="3">
        <v>60</v>
      </c>
      <c r="Y8" s="3" t="s">
        <v>43</v>
      </c>
      <c r="Z8" s="3" t="s">
        <v>44</v>
      </c>
      <c r="AA8" s="3">
        <v>180</v>
      </c>
      <c r="AB8" s="3">
        <v>3800</v>
      </c>
      <c r="AC8" s="3">
        <v>110</v>
      </c>
      <c r="AD8" s="6">
        <v>2.9000000000000001E-2</v>
      </c>
      <c r="AE8" s="3">
        <v>1</v>
      </c>
      <c r="AF8" s="3">
        <v>3.69</v>
      </c>
    </row>
    <row r="9" spans="1:32" ht="43.5" thickBot="1" x14ac:dyDescent="0.3">
      <c r="A9" s="25">
        <v>7</v>
      </c>
      <c r="B9" s="4">
        <v>46085</v>
      </c>
      <c r="C9" s="4" t="str">
        <f t="shared" si="0"/>
        <v>Wednesday</v>
      </c>
      <c r="D9" s="3" t="s">
        <v>93</v>
      </c>
      <c r="E9" s="24" t="s">
        <v>94</v>
      </c>
      <c r="F9" s="3" t="s">
        <v>95</v>
      </c>
      <c r="G9" s="3" t="s">
        <v>34</v>
      </c>
      <c r="H9" s="3">
        <v>26</v>
      </c>
      <c r="I9" s="3" t="s">
        <v>96</v>
      </c>
      <c r="J9" s="3" t="s">
        <v>97</v>
      </c>
      <c r="K9" s="3" t="s">
        <v>37</v>
      </c>
      <c r="L9" s="3" t="s">
        <v>38</v>
      </c>
      <c r="M9" s="25" t="s">
        <v>65</v>
      </c>
      <c r="N9" s="3" t="s">
        <v>54</v>
      </c>
      <c r="O9" s="3" t="s">
        <v>66</v>
      </c>
      <c r="P9" s="3">
        <v>320</v>
      </c>
      <c r="Q9" s="3">
        <v>1</v>
      </c>
      <c r="R9" s="3">
        <v>320</v>
      </c>
      <c r="S9" s="5">
        <v>0</v>
      </c>
      <c r="T9" s="3" t="s">
        <v>56</v>
      </c>
      <c r="U9" s="26">
        <v>320</v>
      </c>
      <c r="V9" s="3">
        <v>90</v>
      </c>
      <c r="W9" s="3">
        <v>230</v>
      </c>
      <c r="X9" s="3">
        <v>50</v>
      </c>
      <c r="Y9" s="3" t="s">
        <v>57</v>
      </c>
      <c r="Z9" s="3" t="s">
        <v>98</v>
      </c>
      <c r="AA9" s="3">
        <v>80</v>
      </c>
      <c r="AB9" s="3">
        <v>1500</v>
      </c>
      <c r="AC9" s="3">
        <v>45</v>
      </c>
      <c r="AD9" s="6">
        <v>0.03</v>
      </c>
      <c r="AE9" s="3">
        <v>1</v>
      </c>
      <c r="AF9" s="3">
        <v>4</v>
      </c>
    </row>
    <row r="10" spans="1:32" ht="29.25" thickBot="1" x14ac:dyDescent="0.3">
      <c r="A10" s="25">
        <v>8</v>
      </c>
      <c r="B10" s="4">
        <v>46085</v>
      </c>
      <c r="C10" s="4" t="str">
        <f t="shared" si="0"/>
        <v>Wednesday</v>
      </c>
      <c r="D10" s="3" t="s">
        <v>99</v>
      </c>
      <c r="E10" s="24" t="s">
        <v>100</v>
      </c>
      <c r="F10" s="3" t="s">
        <v>101</v>
      </c>
      <c r="G10" s="3" t="s">
        <v>48</v>
      </c>
      <c r="H10" s="3">
        <v>27</v>
      </c>
      <c r="I10" s="3" t="s">
        <v>102</v>
      </c>
      <c r="J10" s="3" t="s">
        <v>103</v>
      </c>
      <c r="K10" s="3" t="s">
        <v>64</v>
      </c>
      <c r="L10" s="3" t="s">
        <v>83</v>
      </c>
      <c r="M10" s="25" t="s">
        <v>73</v>
      </c>
      <c r="N10" s="3" t="s">
        <v>40</v>
      </c>
      <c r="O10" s="3" t="s">
        <v>74</v>
      </c>
      <c r="P10" s="3">
        <v>299</v>
      </c>
      <c r="Q10" s="3">
        <v>4</v>
      </c>
      <c r="R10" s="3">
        <v>1196</v>
      </c>
      <c r="S10" s="5">
        <v>0.1</v>
      </c>
      <c r="T10" s="3" t="s">
        <v>104</v>
      </c>
      <c r="U10" s="27">
        <v>1076</v>
      </c>
      <c r="V10" s="3">
        <v>360</v>
      </c>
      <c r="W10" s="3">
        <v>716</v>
      </c>
      <c r="X10" s="3">
        <v>50</v>
      </c>
      <c r="Y10" s="3" t="s">
        <v>43</v>
      </c>
      <c r="Z10" s="3" t="s">
        <v>68</v>
      </c>
      <c r="AA10" s="3">
        <v>300</v>
      </c>
      <c r="AB10" s="3">
        <v>6000</v>
      </c>
      <c r="AC10" s="3">
        <v>200</v>
      </c>
      <c r="AD10" s="6">
        <v>3.3000000000000002E-2</v>
      </c>
      <c r="AE10" s="3">
        <v>1</v>
      </c>
      <c r="AF10" s="3">
        <v>3.59</v>
      </c>
    </row>
    <row r="11" spans="1:32" ht="43.5" thickBot="1" x14ac:dyDescent="0.3">
      <c r="A11" s="25">
        <v>9</v>
      </c>
      <c r="B11" s="4">
        <v>46086</v>
      </c>
      <c r="C11" s="4" t="str">
        <f t="shared" si="0"/>
        <v>Thursday</v>
      </c>
      <c r="D11" s="3" t="s">
        <v>105</v>
      </c>
      <c r="E11" s="24" t="s">
        <v>106</v>
      </c>
      <c r="F11" s="3" t="s">
        <v>107</v>
      </c>
      <c r="G11" s="3" t="s">
        <v>34</v>
      </c>
      <c r="H11" s="3">
        <v>30</v>
      </c>
      <c r="I11" s="3" t="s">
        <v>108</v>
      </c>
      <c r="J11" s="3" t="s">
        <v>109</v>
      </c>
      <c r="K11" s="3" t="s">
        <v>51</v>
      </c>
      <c r="L11" s="3" t="s">
        <v>38</v>
      </c>
      <c r="M11" s="25" t="s">
        <v>39</v>
      </c>
      <c r="N11" s="3" t="s">
        <v>40</v>
      </c>
      <c r="O11" s="3" t="s">
        <v>41</v>
      </c>
      <c r="P11" s="3">
        <v>499</v>
      </c>
      <c r="Q11" s="3">
        <v>1</v>
      </c>
      <c r="R11" s="3">
        <v>499</v>
      </c>
      <c r="S11" s="5">
        <v>0</v>
      </c>
      <c r="T11" s="3" t="s">
        <v>56</v>
      </c>
      <c r="U11" s="26">
        <v>499</v>
      </c>
      <c r="V11" s="3">
        <v>150</v>
      </c>
      <c r="W11" s="3">
        <v>349</v>
      </c>
      <c r="X11" s="3">
        <v>60</v>
      </c>
      <c r="Y11" s="3" t="s">
        <v>75</v>
      </c>
      <c r="Z11" s="3" t="s">
        <v>76</v>
      </c>
      <c r="AA11" s="3">
        <v>0</v>
      </c>
      <c r="AB11" s="3">
        <v>0</v>
      </c>
      <c r="AC11" s="3">
        <v>0</v>
      </c>
      <c r="AD11" s="6">
        <v>0</v>
      </c>
      <c r="AE11" s="3">
        <v>1</v>
      </c>
      <c r="AF11" s="27">
        <v>0</v>
      </c>
    </row>
    <row r="12" spans="1:32" ht="43.5" thickBot="1" x14ac:dyDescent="0.3">
      <c r="A12" s="25">
        <v>10</v>
      </c>
      <c r="B12" s="4">
        <v>46086</v>
      </c>
      <c r="C12" s="4" t="str">
        <f t="shared" si="0"/>
        <v>Thursday</v>
      </c>
      <c r="D12" s="3" t="s">
        <v>110</v>
      </c>
      <c r="E12" s="24" t="s">
        <v>111</v>
      </c>
      <c r="F12" s="3" t="s">
        <v>112</v>
      </c>
      <c r="G12" s="3" t="s">
        <v>48</v>
      </c>
      <c r="H12" s="3">
        <v>23</v>
      </c>
      <c r="I12" s="3" t="s">
        <v>113</v>
      </c>
      <c r="J12" s="3" t="s">
        <v>114</v>
      </c>
      <c r="K12" s="3" t="s">
        <v>51</v>
      </c>
      <c r="L12" s="3" t="s">
        <v>38</v>
      </c>
      <c r="M12" s="25" t="s">
        <v>53</v>
      </c>
      <c r="N12" s="3" t="s">
        <v>54</v>
      </c>
      <c r="O12" s="3" t="s">
        <v>55</v>
      </c>
      <c r="P12" s="3">
        <v>350</v>
      </c>
      <c r="Q12" s="3">
        <v>2</v>
      </c>
      <c r="R12" s="3">
        <v>700</v>
      </c>
      <c r="S12" s="5">
        <v>0.1</v>
      </c>
      <c r="T12" s="3" t="s">
        <v>42</v>
      </c>
      <c r="U12" s="27">
        <v>630</v>
      </c>
      <c r="V12" s="3">
        <v>240</v>
      </c>
      <c r="W12" s="3">
        <v>390</v>
      </c>
      <c r="X12" s="3">
        <v>60</v>
      </c>
      <c r="Y12" s="3" t="s">
        <v>85</v>
      </c>
      <c r="Z12" s="3" t="s">
        <v>86</v>
      </c>
      <c r="AA12" s="3">
        <v>200</v>
      </c>
      <c r="AB12" s="3">
        <v>15000</v>
      </c>
      <c r="AC12" s="3">
        <v>850</v>
      </c>
      <c r="AD12" s="6">
        <v>5.7000000000000002E-2</v>
      </c>
      <c r="AE12" s="3">
        <v>1</v>
      </c>
      <c r="AF12" s="3">
        <v>3.15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0"/>
  <sheetViews>
    <sheetView showGridLines="0" tabSelected="1" topLeftCell="B1" workbookViewId="0">
      <selection activeCell="V23" sqref="V23"/>
    </sheetView>
  </sheetViews>
  <sheetFormatPr defaultRowHeight="15" x14ac:dyDescent="0.25"/>
  <cols>
    <col min="10" max="10" width="13.140625" customWidth="1"/>
    <col min="11" max="11" width="16.28515625" customWidth="1"/>
    <col min="12" max="12" width="11.28515625" customWidth="1"/>
    <col min="13" max="13" width="5" customWidth="1"/>
    <col min="14" max="14" width="4" customWidth="1"/>
    <col min="15" max="15" width="5" customWidth="1"/>
    <col min="16" max="16" width="13.28515625" customWidth="1"/>
    <col min="17" max="18" width="12.5703125" customWidth="1"/>
    <col min="19" max="19" width="13.28515625" customWidth="1"/>
    <col min="20" max="20" width="12.42578125" customWidth="1"/>
    <col min="21" max="21" width="54.140625" customWidth="1"/>
    <col min="22" max="25" width="16.28515625" customWidth="1"/>
    <col min="26" max="27" width="11.28515625" customWidth="1"/>
    <col min="28" max="28" width="8.85546875" customWidth="1"/>
    <col min="29" max="29" width="5.85546875" customWidth="1"/>
    <col min="30" max="30" width="5" customWidth="1"/>
    <col min="31" max="31" width="8.85546875" customWidth="1"/>
    <col min="32" max="32" width="5.85546875" customWidth="1"/>
    <col min="33" max="33" width="8.85546875" customWidth="1"/>
    <col min="34" max="34" width="5.85546875" customWidth="1"/>
    <col min="35" max="35" width="8.85546875" customWidth="1"/>
    <col min="36" max="36" width="11.28515625" bestFit="1" customWidth="1"/>
  </cols>
  <sheetData>
    <row r="2" spans="2:21" x14ac:dyDescent="0.25">
      <c r="J2" s="8"/>
      <c r="K2" s="8"/>
      <c r="L2" s="8"/>
      <c r="M2" s="8"/>
      <c r="N2" s="8"/>
      <c r="O2" s="8"/>
      <c r="P2" s="8"/>
      <c r="Q2" s="8"/>
      <c r="R2" s="8"/>
    </row>
    <row r="3" spans="2:21" x14ac:dyDescent="0.25">
      <c r="B3" s="9" t="str">
        <f>'Main Data'!Y2</f>
        <v>Channel</v>
      </c>
      <c r="C3" s="9" t="str">
        <f>'Main Data'!AF2</f>
        <v>ROAS</v>
      </c>
      <c r="D3" s="9" t="str">
        <f>'Main Data'!AA2</f>
        <v>Spend</v>
      </c>
      <c r="J3" s="8"/>
      <c r="K3" s="8"/>
      <c r="L3" s="8"/>
      <c r="M3" s="8"/>
      <c r="N3" s="8"/>
      <c r="O3" s="8"/>
      <c r="P3" s="8"/>
      <c r="Q3" s="8"/>
      <c r="R3" s="8"/>
    </row>
    <row r="4" spans="2:21" x14ac:dyDescent="0.25">
      <c r="B4" t="str">
        <f>'Main Data'!Y3</f>
        <v>Meta</v>
      </c>
      <c r="C4">
        <f>'Main Data'!AF3</f>
        <v>3.59</v>
      </c>
      <c r="D4">
        <f>'Main Data'!AA3</f>
        <v>250</v>
      </c>
      <c r="U4" s="13" t="s">
        <v>123</v>
      </c>
    </row>
    <row r="5" spans="2:21" x14ac:dyDescent="0.25">
      <c r="B5" t="str">
        <f>'Main Data'!Y4</f>
        <v>Google</v>
      </c>
      <c r="C5">
        <f>'Main Data'!AF4</f>
        <v>3.5</v>
      </c>
      <c r="D5">
        <f>'Main Data'!AA4</f>
        <v>100</v>
      </c>
    </row>
    <row r="6" spans="2:21" x14ac:dyDescent="0.25">
      <c r="B6" t="str">
        <f>'Main Data'!Y5</f>
        <v>Meta</v>
      </c>
      <c r="C6">
        <f>'Main Data'!AF5</f>
        <v>4.5599999999999996</v>
      </c>
      <c r="D6">
        <f>'Main Data'!AA5</f>
        <v>200</v>
      </c>
      <c r="J6" s="13" t="str">
        <f>'Main Data'!AA2</f>
        <v>Spend</v>
      </c>
      <c r="K6" s="13" t="str">
        <f>'Main Data'!AC2</f>
        <v>Clicks</v>
      </c>
      <c r="L6" s="13" t="str">
        <f>'Main Data'!AE2</f>
        <v>Conv.</v>
      </c>
      <c r="U6" s="15" t="s">
        <v>122</v>
      </c>
    </row>
    <row r="7" spans="2:21" x14ac:dyDescent="0.25">
      <c r="B7" t="str">
        <f>'Main Data'!Y6</f>
        <v>Organic</v>
      </c>
      <c r="C7">
        <f>'Main Data'!AF6</f>
        <v>0</v>
      </c>
      <c r="D7">
        <f>'Main Data'!AA6</f>
        <v>0</v>
      </c>
      <c r="J7">
        <f>'Main Data'!AA3</f>
        <v>250</v>
      </c>
      <c r="K7">
        <f>'Main Data'!AC3</f>
        <v>150</v>
      </c>
      <c r="L7">
        <f>'Main Data'!AE3</f>
        <v>1</v>
      </c>
      <c r="P7" t="s">
        <v>118</v>
      </c>
      <c r="Q7" t="s">
        <v>120</v>
      </c>
      <c r="R7" t="s">
        <v>121</v>
      </c>
      <c r="U7" s="16"/>
    </row>
    <row r="8" spans="2:21" x14ac:dyDescent="0.25">
      <c r="B8" t="str">
        <f>'Main Data'!Y7</f>
        <v>Influencer</v>
      </c>
      <c r="C8">
        <f>'Main Data'!AF7</f>
        <v>2.83</v>
      </c>
      <c r="D8">
        <f>'Main Data'!AA7</f>
        <v>150</v>
      </c>
      <c r="J8">
        <f>'Main Data'!AA4</f>
        <v>100</v>
      </c>
      <c r="K8">
        <f>'Main Data'!AC4</f>
        <v>80</v>
      </c>
      <c r="L8">
        <f>'Main Data'!AE4</f>
        <v>1</v>
      </c>
      <c r="P8" s="12">
        <v>1460</v>
      </c>
      <c r="Q8" s="12">
        <v>2155</v>
      </c>
      <c r="R8" s="12">
        <v>10</v>
      </c>
      <c r="U8" s="15" t="s">
        <v>147</v>
      </c>
    </row>
    <row r="9" spans="2:21" x14ac:dyDescent="0.25">
      <c r="B9" t="str">
        <f>'Main Data'!Y8</f>
        <v>Meta</v>
      </c>
      <c r="C9">
        <f>'Main Data'!AF8</f>
        <v>3.69</v>
      </c>
      <c r="D9">
        <f>'Main Data'!AA8</f>
        <v>180</v>
      </c>
      <c r="J9">
        <f>'Main Data'!AA5</f>
        <v>200</v>
      </c>
      <c r="K9">
        <f>'Main Data'!AC5</f>
        <v>120</v>
      </c>
      <c r="L9">
        <f>'Main Data'!AE5</f>
        <v>1</v>
      </c>
      <c r="U9" s="16"/>
    </row>
    <row r="10" spans="2:21" x14ac:dyDescent="0.25">
      <c r="B10" t="str">
        <f>'Main Data'!Y9</f>
        <v>Google</v>
      </c>
      <c r="C10">
        <f>'Main Data'!AF9</f>
        <v>4</v>
      </c>
      <c r="D10">
        <f>'Main Data'!AA9</f>
        <v>80</v>
      </c>
      <c r="J10">
        <f>'Main Data'!AA6</f>
        <v>0</v>
      </c>
      <c r="K10">
        <f>'Main Data'!AC6</f>
        <v>0</v>
      </c>
      <c r="L10">
        <f>'Main Data'!AE6</f>
        <v>1</v>
      </c>
      <c r="U10" s="15" t="s">
        <v>124</v>
      </c>
    </row>
    <row r="11" spans="2:21" x14ac:dyDescent="0.25">
      <c r="B11" t="str">
        <f>'Main Data'!Y10</f>
        <v>Meta</v>
      </c>
      <c r="C11">
        <f>'Main Data'!AF10</f>
        <v>3.59</v>
      </c>
      <c r="D11">
        <f>'Main Data'!AA10</f>
        <v>300</v>
      </c>
      <c r="J11">
        <f>'Main Data'!AA7</f>
        <v>150</v>
      </c>
      <c r="K11">
        <f>'Main Data'!AC7</f>
        <v>600</v>
      </c>
      <c r="L11">
        <f>'Main Data'!AE7</f>
        <v>1</v>
      </c>
      <c r="U11" s="16"/>
    </row>
    <row r="12" spans="2:21" x14ac:dyDescent="0.25">
      <c r="B12" t="str">
        <f>'Main Data'!Y11</f>
        <v>Organic</v>
      </c>
      <c r="C12">
        <f>'Main Data'!AF11</f>
        <v>0</v>
      </c>
      <c r="D12">
        <f>'Main Data'!AA11</f>
        <v>0</v>
      </c>
      <c r="J12">
        <f>'Main Data'!AA8</f>
        <v>180</v>
      </c>
      <c r="K12">
        <f>'Main Data'!AC8</f>
        <v>110</v>
      </c>
      <c r="L12">
        <f>'Main Data'!AE8</f>
        <v>1</v>
      </c>
      <c r="U12" s="15" t="s">
        <v>125</v>
      </c>
    </row>
    <row r="13" spans="2:21" x14ac:dyDescent="0.25">
      <c r="B13" t="str">
        <f>'Main Data'!Y12</f>
        <v>Influencer</v>
      </c>
      <c r="C13">
        <f>'Main Data'!AF12</f>
        <v>3.15</v>
      </c>
      <c r="D13">
        <f>'Main Data'!AA12</f>
        <v>200</v>
      </c>
      <c r="J13">
        <f>'Main Data'!AA9</f>
        <v>80</v>
      </c>
      <c r="K13">
        <f>'Main Data'!AC9</f>
        <v>45</v>
      </c>
      <c r="L13">
        <f>'Main Data'!AE9</f>
        <v>1</v>
      </c>
      <c r="U13" s="16"/>
    </row>
    <row r="14" spans="2:21" x14ac:dyDescent="0.25">
      <c r="J14">
        <f>'Main Data'!AA10</f>
        <v>300</v>
      </c>
      <c r="K14">
        <f>'Main Data'!AC10</f>
        <v>200</v>
      </c>
      <c r="L14">
        <f>'Main Data'!AE10</f>
        <v>1</v>
      </c>
      <c r="U14" s="15" t="s">
        <v>127</v>
      </c>
    </row>
    <row r="15" spans="2:21" x14ac:dyDescent="0.25">
      <c r="J15">
        <f>'Main Data'!AA11</f>
        <v>0</v>
      </c>
      <c r="K15">
        <f>'Main Data'!AC11</f>
        <v>0</v>
      </c>
      <c r="L15">
        <f>'Main Data'!AE11</f>
        <v>1</v>
      </c>
      <c r="U15" s="16"/>
    </row>
    <row r="16" spans="2:21" x14ac:dyDescent="0.25">
      <c r="J16">
        <f>'Main Data'!AA12</f>
        <v>200</v>
      </c>
      <c r="K16">
        <f>'Main Data'!AC12</f>
        <v>850</v>
      </c>
      <c r="L16">
        <f>'Main Data'!AE12</f>
        <v>1</v>
      </c>
      <c r="U16" s="15" t="s">
        <v>126</v>
      </c>
    </row>
    <row r="17" spans="18:21" x14ac:dyDescent="0.25">
      <c r="U17" s="16"/>
    </row>
    <row r="18" spans="18:21" x14ac:dyDescent="0.25">
      <c r="U18" s="15" t="s">
        <v>128</v>
      </c>
    </row>
    <row r="19" spans="18:21" x14ac:dyDescent="0.25">
      <c r="U19" s="16"/>
    </row>
    <row r="20" spans="18:21" x14ac:dyDescent="0.25">
      <c r="U20" s="15" t="s">
        <v>148</v>
      </c>
    </row>
    <row r="21" spans="18:21" x14ac:dyDescent="0.25">
      <c r="U21" s="16"/>
    </row>
    <row r="22" spans="18:21" x14ac:dyDescent="0.25">
      <c r="U22" s="15" t="s">
        <v>129</v>
      </c>
    </row>
    <row r="23" spans="18:21" x14ac:dyDescent="0.25">
      <c r="U23" s="14" t="s">
        <v>130</v>
      </c>
    </row>
    <row r="25" spans="18:21" x14ac:dyDescent="0.25">
      <c r="R25" s="10" t="s">
        <v>117</v>
      </c>
      <c r="S25" t="s">
        <v>118</v>
      </c>
      <c r="T25" t="s">
        <v>119</v>
      </c>
    </row>
    <row r="26" spans="18:21" x14ac:dyDescent="0.25">
      <c r="R26" s="21" t="s">
        <v>57</v>
      </c>
      <c r="S26" s="22">
        <v>180</v>
      </c>
      <c r="T26" s="22">
        <v>7.5</v>
      </c>
    </row>
    <row r="27" spans="18:21" x14ac:dyDescent="0.25">
      <c r="R27" s="21" t="s">
        <v>85</v>
      </c>
      <c r="S27" s="22">
        <v>350</v>
      </c>
      <c r="T27" s="22">
        <v>5.98</v>
      </c>
      <c r="U27" s="13" t="s">
        <v>149</v>
      </c>
    </row>
    <row r="28" spans="18:21" x14ac:dyDescent="0.25">
      <c r="R28" s="21" t="s">
        <v>43</v>
      </c>
      <c r="S28" s="22">
        <v>930</v>
      </c>
      <c r="T28" s="22">
        <v>15.429999999999998</v>
      </c>
    </row>
    <row r="29" spans="18:21" x14ac:dyDescent="0.25">
      <c r="R29" s="21" t="s">
        <v>75</v>
      </c>
      <c r="S29" s="22">
        <v>0</v>
      </c>
      <c r="T29" s="22">
        <v>0</v>
      </c>
      <c r="U29" s="17" t="s">
        <v>150</v>
      </c>
    </row>
    <row r="30" spans="18:21" x14ac:dyDescent="0.25">
      <c r="R30" s="11" t="s">
        <v>116</v>
      </c>
      <c r="S30" s="12">
        <v>1460</v>
      </c>
      <c r="T30" s="12">
        <v>28.909999999999997</v>
      </c>
      <c r="U30" s="17" t="s">
        <v>151</v>
      </c>
    </row>
  </sheetData>
  <mergeCells count="1">
    <mergeCell ref="J2:R3"/>
  </mergeCells>
  <conditionalFormatting sqref="U6:U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{0FE2BD35-C04F-4C6D-9A42-ED3FB7F36630}</x14:id>
        </ext>
      </extLst>
    </cfRule>
  </conditionalFormatting>
  <pageMargins left="0.7" right="0.7" top="0.75" bottom="0.75" header="0.3" footer="0.3"/>
  <pageSetup orientation="portrait" r:id="rId3"/>
  <drawing r:id="rId4"/>
  <picture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E2BD35-C04F-4C6D-9A42-ED3FB7F366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U6:U22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F25" sqref="F25"/>
    </sheetView>
  </sheetViews>
  <sheetFormatPr defaultRowHeight="15" x14ac:dyDescent="0.25"/>
  <cols>
    <col min="2" max="2" width="20.85546875" bestFit="1" customWidth="1"/>
    <col min="3" max="3" width="6.5703125" bestFit="1" customWidth="1"/>
    <col min="4" max="4" width="17.7109375" customWidth="1"/>
    <col min="5" max="5" width="12.42578125" customWidth="1"/>
    <col min="6" max="6" width="18.42578125" bestFit="1" customWidth="1"/>
    <col min="7" max="7" width="33.5703125" customWidth="1"/>
    <col min="8" max="8" width="15.85546875" bestFit="1" customWidth="1"/>
    <col min="9" max="9" width="14.140625" bestFit="1" customWidth="1"/>
    <col min="13" max="13" width="15.28515625" bestFit="1" customWidth="1"/>
    <col min="14" max="14" width="19.7109375" bestFit="1" customWidth="1"/>
    <col min="15" max="15" width="23" bestFit="1" customWidth="1"/>
  </cols>
  <sheetData>
    <row r="1" spans="1:15" x14ac:dyDescent="0.25">
      <c r="F1" s="30" t="s">
        <v>193</v>
      </c>
      <c r="G1" s="30"/>
      <c r="H1" s="30"/>
      <c r="I1" s="30"/>
    </row>
    <row r="3" spans="1:15" x14ac:dyDescent="0.25">
      <c r="A3" s="18" t="s">
        <v>152</v>
      </c>
      <c r="B3" s="19"/>
      <c r="C3" s="19"/>
      <c r="D3" s="19"/>
      <c r="F3" s="19" t="s">
        <v>175</v>
      </c>
      <c r="G3" s="19"/>
      <c r="H3" s="19"/>
      <c r="I3" s="19"/>
    </row>
    <row r="4" spans="1:15" x14ac:dyDescent="0.25">
      <c r="B4" s="9" t="s">
        <v>131</v>
      </c>
      <c r="C4" s="9" t="s">
        <v>132</v>
      </c>
      <c r="D4" s="9" t="s">
        <v>133</v>
      </c>
      <c r="E4" s="9"/>
      <c r="F4" s="13" t="s">
        <v>153</v>
      </c>
      <c r="G4" s="13" t="s">
        <v>154</v>
      </c>
      <c r="H4" s="13" t="s">
        <v>155</v>
      </c>
      <c r="I4" s="13" t="s">
        <v>156</v>
      </c>
      <c r="J4" s="7"/>
      <c r="M4" s="20" t="s">
        <v>153</v>
      </c>
      <c r="N4" s="20" t="s">
        <v>176</v>
      </c>
      <c r="O4" s="20" t="s">
        <v>177</v>
      </c>
    </row>
    <row r="5" spans="1:15" x14ac:dyDescent="0.25">
      <c r="B5" t="s">
        <v>134</v>
      </c>
      <c r="C5" t="s">
        <v>135</v>
      </c>
      <c r="D5" s="1">
        <v>1</v>
      </c>
      <c r="F5" s="7" t="s">
        <v>157</v>
      </c>
      <c r="G5" s="7" t="s">
        <v>158</v>
      </c>
      <c r="H5" s="7" t="s">
        <v>159</v>
      </c>
      <c r="I5" s="7" t="s">
        <v>160</v>
      </c>
      <c r="J5" s="7"/>
      <c r="M5" s="7" t="s">
        <v>157</v>
      </c>
      <c r="N5" s="7">
        <v>146</v>
      </c>
      <c r="O5" s="7">
        <v>80</v>
      </c>
    </row>
    <row r="6" spans="1:15" x14ac:dyDescent="0.25">
      <c r="B6" t="s">
        <v>136</v>
      </c>
      <c r="C6" t="s">
        <v>137</v>
      </c>
      <c r="D6" s="2">
        <v>0.39800000000000002</v>
      </c>
      <c r="F6" s="7" t="s">
        <v>161</v>
      </c>
      <c r="G6" s="7" t="s">
        <v>159</v>
      </c>
      <c r="H6" s="7" t="s">
        <v>162</v>
      </c>
      <c r="I6" s="7" t="s">
        <v>163</v>
      </c>
      <c r="J6" s="7"/>
      <c r="M6" s="7" t="s">
        <v>161</v>
      </c>
      <c r="N6" s="7">
        <v>80</v>
      </c>
      <c r="O6" s="7">
        <v>40</v>
      </c>
    </row>
    <row r="7" spans="1:15" x14ac:dyDescent="0.25">
      <c r="B7" t="s">
        <v>138</v>
      </c>
      <c r="C7" t="s">
        <v>139</v>
      </c>
      <c r="D7" s="2">
        <v>0.30499999999999999</v>
      </c>
      <c r="F7" s="7" t="s">
        <v>20</v>
      </c>
      <c r="G7" s="7" t="s">
        <v>164</v>
      </c>
      <c r="H7" s="7" t="s">
        <v>164</v>
      </c>
      <c r="I7" s="7" t="s">
        <v>165</v>
      </c>
      <c r="J7" s="7"/>
      <c r="M7" s="7" t="s">
        <v>20</v>
      </c>
      <c r="N7" s="7">
        <v>112</v>
      </c>
      <c r="O7" s="7">
        <v>112</v>
      </c>
    </row>
    <row r="8" spans="1:15" x14ac:dyDescent="0.25">
      <c r="B8" t="s">
        <v>140</v>
      </c>
      <c r="C8" t="s">
        <v>141</v>
      </c>
      <c r="D8" s="2">
        <v>0.218</v>
      </c>
      <c r="F8" s="7" t="s">
        <v>142</v>
      </c>
      <c r="G8" s="7" t="s">
        <v>166</v>
      </c>
      <c r="H8" s="7" t="s">
        <v>166</v>
      </c>
      <c r="I8" s="7" t="s">
        <v>165</v>
      </c>
      <c r="J8" s="7"/>
      <c r="M8" s="7" t="s">
        <v>142</v>
      </c>
      <c r="N8" s="7">
        <v>55</v>
      </c>
      <c r="O8" s="7">
        <v>55</v>
      </c>
    </row>
    <row r="9" spans="1:15" x14ac:dyDescent="0.25">
      <c r="B9" t="s">
        <v>142</v>
      </c>
      <c r="C9" t="s">
        <v>143</v>
      </c>
      <c r="D9" s="2">
        <v>0.15</v>
      </c>
      <c r="F9" s="7" t="s">
        <v>167</v>
      </c>
      <c r="G9" s="7" t="s">
        <v>168</v>
      </c>
      <c r="H9" s="7" t="s">
        <v>169</v>
      </c>
      <c r="I9" s="7" t="s">
        <v>170</v>
      </c>
      <c r="J9" s="7"/>
      <c r="M9" s="7"/>
      <c r="N9" s="7"/>
      <c r="O9" s="7"/>
    </row>
    <row r="10" spans="1:15" x14ac:dyDescent="0.25">
      <c r="B10" t="s">
        <v>144</v>
      </c>
      <c r="C10" t="s">
        <v>145</v>
      </c>
      <c r="D10" t="s">
        <v>146</v>
      </c>
      <c r="F10" s="7" t="s">
        <v>171</v>
      </c>
      <c r="G10" s="7" t="s">
        <v>172</v>
      </c>
      <c r="H10" s="7" t="s">
        <v>173</v>
      </c>
      <c r="I10" s="7" t="s">
        <v>174</v>
      </c>
      <c r="J10" s="7"/>
      <c r="M10" s="7"/>
      <c r="N10" s="7"/>
      <c r="O10" s="7"/>
    </row>
    <row r="14" spans="1:15" x14ac:dyDescent="0.25">
      <c r="F14" s="28" t="s">
        <v>178</v>
      </c>
      <c r="G14" s="28" t="s">
        <v>179</v>
      </c>
      <c r="H14" s="28" t="s">
        <v>180</v>
      </c>
      <c r="I14" s="29"/>
    </row>
    <row r="15" spans="1:15" x14ac:dyDescent="0.25">
      <c r="F15" t="s">
        <v>181</v>
      </c>
      <c r="G15" t="s">
        <v>182</v>
      </c>
      <c r="H15" t="s">
        <v>183</v>
      </c>
    </row>
    <row r="16" spans="1:15" x14ac:dyDescent="0.25">
      <c r="F16" t="s">
        <v>184</v>
      </c>
      <c r="G16" t="s">
        <v>185</v>
      </c>
      <c r="H16" t="s">
        <v>186</v>
      </c>
    </row>
    <row r="17" spans="6:8" x14ac:dyDescent="0.25">
      <c r="F17" t="s">
        <v>187</v>
      </c>
      <c r="G17" t="s">
        <v>188</v>
      </c>
      <c r="H17" t="s">
        <v>189</v>
      </c>
    </row>
    <row r="18" spans="6:8" x14ac:dyDescent="0.25">
      <c r="F18" t="s">
        <v>190</v>
      </c>
      <c r="G18" t="s">
        <v>191</v>
      </c>
      <c r="H18" t="s">
        <v>192</v>
      </c>
    </row>
  </sheetData>
  <mergeCells count="3">
    <mergeCell ref="A3:D3"/>
    <mergeCell ref="F3:I3"/>
    <mergeCell ref="F1:I1"/>
  </mergeCells>
  <pageMargins left="0.7" right="0.7" top="0.75" bottom="0.75" header="0.3" footer="0.3"/>
  <pageSetup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Homework</vt:lpstr>
      <vt:lpstr>Analyse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Surojit</dc:creator>
  <cp:lastModifiedBy>Surojit</cp:lastModifiedBy>
  <dcterms:created xsi:type="dcterms:W3CDTF">2026-03-17T12:02:04Z</dcterms:created>
  <dcterms:modified xsi:type="dcterms:W3CDTF">2026-03-17T11:31:41Z</dcterms:modified>
</cp:coreProperties>
</file>